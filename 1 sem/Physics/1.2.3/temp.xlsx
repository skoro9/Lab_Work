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Саня\Lab_Work\Lab_Work\1 sem\Physics\1.2.3\"/>
    </mc:Choice>
  </mc:AlternateContent>
  <xr:revisionPtr revIDLastSave="0" documentId="13_ncr:1_{AEA40743-3D69-4378-8F4B-75402F8154C0}" xr6:coauthVersionLast="47" xr6:coauthVersionMax="47" xr10:uidLastSave="{00000000-0000-0000-0000-000000000000}"/>
  <bookViews>
    <workbookView xWindow="2688" yWindow="2688" windowWidth="17280" windowHeight="89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J11" i="1"/>
  <c r="J13" i="1"/>
  <c r="J12" i="1"/>
  <c r="F18" i="1"/>
  <c r="H18" i="1" s="1"/>
  <c r="F17" i="1"/>
  <c r="H17" i="1" s="1"/>
  <c r="J10" i="1"/>
  <c r="J9" i="1"/>
  <c r="H16" i="1"/>
  <c r="F16" i="1"/>
  <c r="H15" i="1"/>
  <c r="F15" i="1"/>
  <c r="C15" i="1"/>
  <c r="H14" i="1"/>
  <c r="F14" i="1"/>
  <c r="C14" i="1"/>
  <c r="H13" i="1"/>
  <c r="F12" i="1"/>
  <c r="H12" i="1" s="1"/>
  <c r="F13" i="1"/>
  <c r="C13" i="1"/>
  <c r="H11" i="1"/>
  <c r="F11" i="1"/>
  <c r="C12" i="1"/>
  <c r="C11" i="1"/>
  <c r="I9" i="1"/>
  <c r="H10" i="1"/>
  <c r="F9" i="1"/>
  <c r="F10" i="1"/>
  <c r="S2" i="1"/>
  <c r="K2" i="1"/>
  <c r="P2" i="1"/>
  <c r="H9" i="1" l="1"/>
  <c r="R2" i="1"/>
</calcChain>
</file>

<file path=xl/sharedStrings.xml><?xml version="1.0" encoding="utf-8"?>
<sst xmlns="http://schemas.openxmlformats.org/spreadsheetml/2006/main" count="54" uniqueCount="49">
  <si>
    <t>R_bottom</t>
  </si>
  <si>
    <t>R_lower</t>
  </si>
  <si>
    <t>Weight_Disk</t>
  </si>
  <si>
    <t>Pm</t>
  </si>
  <si>
    <t>0.5</t>
  </si>
  <si>
    <t>0.3</t>
  </si>
  <si>
    <t>Period</t>
  </si>
  <si>
    <t>Time</t>
  </si>
  <si>
    <t>N</t>
  </si>
  <si>
    <t>Z0</t>
  </si>
  <si>
    <t>pm</t>
  </si>
  <si>
    <t>k</t>
  </si>
  <si>
    <t>0.001</t>
  </si>
  <si>
    <t>g</t>
  </si>
  <si>
    <t>30,5</t>
  </si>
  <si>
    <t>115,4</t>
  </si>
  <si>
    <t>9,8</t>
  </si>
  <si>
    <t>pi</t>
  </si>
  <si>
    <t>2,179</t>
  </si>
  <si>
    <t>I</t>
  </si>
  <si>
    <t>993,5</t>
  </si>
  <si>
    <t>I_theory</t>
  </si>
  <si>
    <t>Тело</t>
  </si>
  <si>
    <t>Масса, г</t>
  </si>
  <si>
    <t>Количество колебаний</t>
  </si>
  <si>
    <t>Время колебаний</t>
  </si>
  <si>
    <t>Погрешность массы</t>
  </si>
  <si>
    <t>Период</t>
  </si>
  <si>
    <t>Пустой триффиляр</t>
  </si>
  <si>
    <t>Диск + триффиляр</t>
  </si>
  <si>
    <t>I_experimental</t>
  </si>
  <si>
    <t>Обод + триффиляр</t>
  </si>
  <si>
    <t>Брусок + триффиляр(Vert)</t>
  </si>
  <si>
    <t>Брусок + триффиляр(Hor)</t>
  </si>
  <si>
    <t>Целый круг</t>
  </si>
  <si>
    <t>Круг на максимальном расстоянии(6,8 см от центра)</t>
  </si>
  <si>
    <t>Круг на расстоянии( 6см от центра)</t>
  </si>
  <si>
    <t>Diff</t>
  </si>
  <si>
    <t>Круг на расстоянии(4.4 см)</t>
  </si>
  <si>
    <t>Круг на расстоянии(2,3 см)</t>
  </si>
  <si>
    <t>Малый</t>
  </si>
  <si>
    <t>Большой</t>
  </si>
  <si>
    <t>Масса в граммах</t>
  </si>
  <si>
    <t>Радиусы кругов. См</t>
  </si>
  <si>
    <t>Погрешность радиусов</t>
  </si>
  <si>
    <t>0,1 мм</t>
  </si>
  <si>
    <t>0,4 г</t>
  </si>
  <si>
    <t>Погрешность длины</t>
  </si>
  <si>
    <t>0.1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</si>
</sst>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" fontId="0" fillId="0" borderId="0" xfId="0" quotePrefix="1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26"/>
  <sheetViews>
    <sheetView tabSelected="1" topLeftCell="A5" zoomScale="101" zoomScaleNormal="134" workbookViewId="0">
      <selection activeCell="B10" sqref="B10"/>
    </sheetView>
  </sheetViews>
  <sheetFormatPr defaultRowHeight="14.4" x14ac:dyDescent="0.3"/>
  <cols>
    <col min="1" max="1" width="9.77734375" customWidth="1"/>
    <col min="2" max="2" width="41.88671875" customWidth="1"/>
    <col min="3" max="3" width="12.21875" customWidth="1"/>
    <col min="4" max="4" width="24.5546875" customWidth="1"/>
    <col min="5" max="5" width="17.5546875" customWidth="1"/>
    <col min="6" max="6" width="18.33203125" customWidth="1"/>
    <col min="7" max="7" width="25" customWidth="1"/>
    <col min="8" max="8" width="15.77734375" customWidth="1"/>
    <col min="15" max="15" width="12" bestFit="1" customWidth="1"/>
  </cols>
  <sheetData>
    <row r="1" spans="2:19" x14ac:dyDescent="0.3">
      <c r="B1" t="s">
        <v>0</v>
      </c>
      <c r="C1" t="s">
        <v>3</v>
      </c>
      <c r="D1" t="s">
        <v>1</v>
      </c>
      <c r="E1" t="s">
        <v>3</v>
      </c>
      <c r="F1" t="s">
        <v>2</v>
      </c>
      <c r="G1" t="s">
        <v>3</v>
      </c>
      <c r="I1" t="s">
        <v>7</v>
      </c>
      <c r="J1" t="s">
        <v>8</v>
      </c>
      <c r="K1" t="s">
        <v>6</v>
      </c>
      <c r="L1" t="s">
        <v>9</v>
      </c>
      <c r="M1" t="s">
        <v>10</v>
      </c>
      <c r="N1" t="s">
        <v>13</v>
      </c>
      <c r="O1" t="s">
        <v>11</v>
      </c>
      <c r="P1" t="s">
        <v>17</v>
      </c>
      <c r="R1" t="s">
        <v>19</v>
      </c>
      <c r="S1" t="s">
        <v>21</v>
      </c>
    </row>
    <row r="2" spans="2:19" x14ac:dyDescent="0.3">
      <c r="B2" s="1" t="s">
        <v>15</v>
      </c>
      <c r="C2" t="s">
        <v>4</v>
      </c>
      <c r="D2" s="2" t="s">
        <v>14</v>
      </c>
      <c r="E2" s="1" t="s">
        <v>5</v>
      </c>
      <c r="F2" s="1" t="s">
        <v>20</v>
      </c>
      <c r="G2" s="1" t="s">
        <v>4</v>
      </c>
      <c r="I2" s="1">
        <v>239290</v>
      </c>
      <c r="J2">
        <v>53</v>
      </c>
      <c r="K2">
        <f>I2/J2</f>
        <v>4514.9056603773588</v>
      </c>
      <c r="L2" s="1" t="s">
        <v>18</v>
      </c>
      <c r="M2" t="s">
        <v>12</v>
      </c>
      <c r="N2" s="2" t="s">
        <v>16</v>
      </c>
      <c r="O2">
        <f>(N2*B2*D2/1000000)/(4*P2^2*L2)</f>
        <v>4.0097265565008911E-4</v>
      </c>
      <c r="P2">
        <f>PI()</f>
        <v>3.1415926535897931</v>
      </c>
      <c r="R2">
        <f>F2*O2*K2*K2/10^9</f>
        <v>8.1204479790742794E-3</v>
      </c>
      <c r="S2">
        <f>F2/2*B2^2/10^9</f>
        <v>6.6152992300000006E-3</v>
      </c>
    </row>
    <row r="3" spans="2:19" x14ac:dyDescent="0.3">
      <c r="B3">
        <v>125</v>
      </c>
      <c r="C3">
        <v>1</v>
      </c>
    </row>
    <row r="8" spans="2:19" x14ac:dyDescent="0.3">
      <c r="B8" t="s">
        <v>22</v>
      </c>
      <c r="C8" t="s">
        <v>23</v>
      </c>
      <c r="D8" t="s">
        <v>24</v>
      </c>
      <c r="E8" t="s">
        <v>25</v>
      </c>
      <c r="F8" t="s">
        <v>27</v>
      </c>
      <c r="G8" t="s">
        <v>26</v>
      </c>
      <c r="H8" t="s">
        <v>30</v>
      </c>
      <c r="I8" t="s">
        <v>21</v>
      </c>
      <c r="J8" t="s">
        <v>37</v>
      </c>
    </row>
    <row r="9" spans="2:19" x14ac:dyDescent="0.3">
      <c r="B9" t="s">
        <v>28</v>
      </c>
      <c r="C9">
        <v>993.5</v>
      </c>
      <c r="D9">
        <v>41</v>
      </c>
      <c r="E9">
        <v>182110</v>
      </c>
      <c r="F9">
        <f>E9/D9/1000</f>
        <v>4.4417073170731713</v>
      </c>
      <c r="H9">
        <f>O2*C9*F9^2/1000</f>
        <v>7.8592753333597033E-3</v>
      </c>
      <c r="I9">
        <f>C9*B3^2/(2*10^9)</f>
        <v>7.7617187500000004E-3</v>
      </c>
      <c r="J9">
        <f>I9/H9*100</f>
        <v>98.758707651510676</v>
      </c>
    </row>
    <row r="10" spans="2:19" x14ac:dyDescent="0.3">
      <c r="B10" t="s">
        <v>29</v>
      </c>
      <c r="C10">
        <v>2056.4</v>
      </c>
      <c r="D10">
        <v>40</v>
      </c>
      <c r="E10">
        <v>149550</v>
      </c>
      <c r="F10">
        <f>E10/D10/1000</f>
        <v>3.73875</v>
      </c>
      <c r="H10">
        <f>O2*C10*F10^2/1000</f>
        <v>1.1525909471801606E-2</v>
      </c>
      <c r="I10">
        <v>1.1169999999999999E-2</v>
      </c>
      <c r="J10">
        <f>I10/H10*100</f>
        <v>96.912092076791453</v>
      </c>
    </row>
    <row r="11" spans="2:19" x14ac:dyDescent="0.3">
      <c r="B11" t="s">
        <v>33</v>
      </c>
      <c r="C11">
        <f>993.5+ 1206.5</f>
        <v>2200</v>
      </c>
      <c r="D11">
        <v>40</v>
      </c>
      <c r="E11">
        <v>151150</v>
      </c>
      <c r="F11">
        <f>E11/D11/1000</f>
        <v>3.7787500000000001</v>
      </c>
      <c r="H11">
        <f>O2*C11*F11^2/1000</f>
        <v>1.2596032081412151E-2</v>
      </c>
      <c r="I11">
        <v>1.2489203510400001E-2</v>
      </c>
      <c r="J11">
        <f>I11/H11*100</f>
        <v>99.151887115548107</v>
      </c>
    </row>
    <row r="12" spans="2:19" x14ac:dyDescent="0.3">
      <c r="B12" t="s">
        <v>31</v>
      </c>
      <c r="C12">
        <f>C9+737.7</f>
        <v>1731.2</v>
      </c>
      <c r="D12">
        <v>40</v>
      </c>
      <c r="E12" s="3">
        <v>174940</v>
      </c>
      <c r="F12">
        <f t="shared" ref="F12:F18" si="0">E12/D12/1000</f>
        <v>4.3734999999999999</v>
      </c>
      <c r="H12">
        <f>O2*C12*F12^2/1000</f>
        <v>1.3277620821972272E-2</v>
      </c>
      <c r="I12">
        <v>1.2616E-2</v>
      </c>
      <c r="J12">
        <f>100*I12/H12</f>
        <v>95.017022772051163</v>
      </c>
    </row>
    <row r="13" spans="2:19" x14ac:dyDescent="0.3">
      <c r="B13" t="s">
        <v>32</v>
      </c>
      <c r="C13">
        <f>C11</f>
        <v>2200</v>
      </c>
      <c r="D13">
        <v>40</v>
      </c>
      <c r="E13">
        <v>124150</v>
      </c>
      <c r="F13">
        <f t="shared" si="0"/>
        <v>3.1037499999999998</v>
      </c>
      <c r="H13">
        <f>O2*C13*F13^2/1000</f>
        <v>8.4978860421822192E-3</v>
      </c>
      <c r="I13">
        <v>7.9150000000000002E-3</v>
      </c>
      <c r="J13">
        <f>100*I13/H13</f>
        <v>93.140811264250175</v>
      </c>
    </row>
    <row r="14" spans="2:19" x14ac:dyDescent="0.3">
      <c r="B14" t="s">
        <v>34</v>
      </c>
      <c r="C14">
        <f>764.5+764.1+C9</f>
        <v>2522.1</v>
      </c>
      <c r="D14">
        <v>41</v>
      </c>
      <c r="E14">
        <v>131280</v>
      </c>
      <c r="F14">
        <f t="shared" si="0"/>
        <v>3.2019512195121953</v>
      </c>
      <c r="H14">
        <f>O2*C14*F14^2/1000</f>
        <v>1.036827438210206E-2</v>
      </c>
    </row>
    <row r="15" spans="2:19" x14ac:dyDescent="0.3">
      <c r="B15" t="s">
        <v>35</v>
      </c>
      <c r="C15">
        <f>764.5+764.1+C9</f>
        <v>2522.1</v>
      </c>
      <c r="D15">
        <v>40</v>
      </c>
      <c r="E15">
        <v>167200</v>
      </c>
      <c r="F15">
        <f t="shared" si="0"/>
        <v>4.18</v>
      </c>
      <c r="H15">
        <f>O2*C15*F15^2/1000</f>
        <v>1.766971816874317E-2</v>
      </c>
    </row>
    <row r="16" spans="2:19" x14ac:dyDescent="0.3">
      <c r="B16" t="s">
        <v>36</v>
      </c>
      <c r="C16">
        <v>2522.1</v>
      </c>
      <c r="D16">
        <v>40</v>
      </c>
      <c r="E16">
        <v>164790</v>
      </c>
      <c r="F16">
        <f t="shared" si="0"/>
        <v>4.1197499999999998</v>
      </c>
      <c r="H16">
        <f>O2*C16*F16^2/1000</f>
        <v>1.716401098695336E-2</v>
      </c>
    </row>
    <row r="17" spans="2:8" x14ac:dyDescent="0.3">
      <c r="B17" t="s">
        <v>38</v>
      </c>
      <c r="C17">
        <v>2522.1</v>
      </c>
      <c r="D17">
        <v>41</v>
      </c>
      <c r="E17">
        <v>167940</v>
      </c>
      <c r="F17">
        <f t="shared" si="0"/>
        <v>4.0960975609756094</v>
      </c>
      <c r="H17">
        <f>O2*C17*F17^2/1000</f>
        <v>1.6967491616941405E-2</v>
      </c>
    </row>
    <row r="18" spans="2:8" x14ac:dyDescent="0.3">
      <c r="B18" t="s">
        <v>39</v>
      </c>
      <c r="C18">
        <v>2522.1</v>
      </c>
      <c r="D18">
        <v>40</v>
      </c>
      <c r="E18">
        <v>129710</v>
      </c>
      <c r="F18">
        <f t="shared" si="0"/>
        <v>3.24275</v>
      </c>
      <c r="H18">
        <f>O2*C18*F18^2/1000</f>
        <v>1.0634179703601622E-2</v>
      </c>
    </row>
    <row r="20" spans="2:8" x14ac:dyDescent="0.3">
      <c r="C20" t="s">
        <v>40</v>
      </c>
      <c r="D20" t="s">
        <v>41</v>
      </c>
    </row>
    <row r="21" spans="2:8" x14ac:dyDescent="0.3">
      <c r="B21" t="s">
        <v>42</v>
      </c>
      <c r="C21">
        <v>764.1</v>
      </c>
      <c r="D21">
        <v>764.5</v>
      </c>
    </row>
    <row r="22" spans="2:8" x14ac:dyDescent="0.3">
      <c r="B22" t="s">
        <v>43</v>
      </c>
      <c r="C22">
        <v>4.3949999999999996</v>
      </c>
      <c r="D22">
        <v>4.3949999999999996</v>
      </c>
    </row>
    <row r="24" spans="2:8" x14ac:dyDescent="0.3">
      <c r="B24" t="s">
        <v>26</v>
      </c>
      <c r="C24" t="s">
        <v>46</v>
      </c>
    </row>
    <row r="25" spans="2:8" x14ac:dyDescent="0.3">
      <c r="B25" t="s">
        <v>44</v>
      </c>
      <c r="C25" t="s">
        <v>45</v>
      </c>
    </row>
    <row r="26" spans="2:8" x14ac:dyDescent="0.3">
      <c r="B26" t="s">
        <v>47</v>
      </c>
      <c r="C2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Александр Чиркин</cp:lastModifiedBy>
  <dcterms:created xsi:type="dcterms:W3CDTF">2015-06-05T18:17:20Z</dcterms:created>
  <dcterms:modified xsi:type="dcterms:W3CDTF">2026-10-06T22:15:02Z</dcterms:modified>
</cp:coreProperties>
</file>